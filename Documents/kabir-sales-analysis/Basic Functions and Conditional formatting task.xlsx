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35E062-BCD7-4BD7-A292-FB0DED76786E}" xr6:coauthVersionLast="43" xr6:coauthVersionMax="43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TaskStar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6" i="2" l="1"/>
  <c r="P7" i="2"/>
  <c r="P8" i="2"/>
  <c r="P9" i="2"/>
  <c r="I26" i="2" l="1"/>
  <c r="I27" i="2"/>
  <c r="I28" i="2"/>
  <c r="I29" i="2"/>
  <c r="I25" i="2"/>
  <c r="W15" i="2"/>
  <c r="W13" i="2"/>
  <c r="U8" i="2"/>
  <c r="U9" i="2"/>
  <c r="U7" i="2"/>
  <c r="S8" i="2"/>
  <c r="S9" i="2"/>
  <c r="S7" i="2"/>
  <c r="R4" i="2"/>
  <c r="T20" i="2" l="1"/>
  <c r="U20" i="2"/>
  <c r="T19" i="2"/>
  <c r="U19" i="2"/>
  <c r="T18" i="2"/>
  <c r="U18" i="2"/>
  <c r="T17" i="2"/>
  <c r="U17" i="2"/>
  <c r="S17" i="2"/>
  <c r="S18" i="2"/>
  <c r="S19" i="2"/>
  <c r="S20" i="2"/>
  <c r="U16" i="2"/>
  <c r="T16" i="2"/>
  <c r="S16" i="2"/>
  <c r="O15" i="2"/>
  <c r="O16" i="2"/>
  <c r="O17" i="2"/>
  <c r="O18" i="2"/>
  <c r="O19" i="2"/>
  <c r="N16" i="2"/>
  <c r="N17" i="2"/>
  <c r="N18" i="2"/>
  <c r="N19" i="2"/>
  <c r="N15" i="2"/>
  <c r="I15" i="2"/>
  <c r="J20" i="2"/>
  <c r="J19" i="2"/>
  <c r="J18" i="2"/>
  <c r="J17" i="2"/>
  <c r="J16" i="2"/>
  <c r="I20" i="2"/>
  <c r="I19" i="2"/>
  <c r="I18" i="2"/>
  <c r="I17" i="2"/>
  <c r="I16" i="2"/>
  <c r="J15" i="2"/>
  <c r="P5" i="2"/>
  <c r="I6" i="2"/>
  <c r="J10" i="2"/>
  <c r="K10" i="2"/>
  <c r="J9" i="2"/>
  <c r="K9" i="2"/>
  <c r="J8" i="2"/>
  <c r="K8" i="2"/>
  <c r="J7" i="2"/>
  <c r="K7" i="2"/>
  <c r="I7" i="2"/>
  <c r="I8" i="2"/>
  <c r="I9" i="2"/>
  <c r="I10" i="2"/>
  <c r="K6" i="2"/>
  <c r="J6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6" i="1" l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<sst xmlns="http://schemas.openxmlformats.org/spreadsheetml/2006/main" count="161" uniqueCount="37">
  <si>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</si>
  <si>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</si>
  <si>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</si>
  <si>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</si>
  <si>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</si>
  <si>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</si>
  <si>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</si>
  <si>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</si>
  <si>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</si>
  <si>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</si>
  <si>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</si>
  <si>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</si>
  <si>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</si>
  <si>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</si>
  <si>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</si>
  <si>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</si>
  <si>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</si>
  <si>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</si>
  <si>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</si>
  <si>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</si>
  <si>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</si>
  <si>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</si>
  <si>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</si>
  <si>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</si>
  <si>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</si>
  <si>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Inventory Impact</t>
  </si>
  <si>
    <t>Total Quantity Sold Across All Years</t>
  </si>
  <si>
    <t>Total Quantity Sold Per Year</t>
  </si>
  <si>
    <t>Total Quantity</t>
  </si>
  <si>
    <t>Average Quantity Sold Per Year</t>
  </si>
  <si>
    <t>Average Quantity</t>
  </si>
  <si>
    <t>Performance Extremes</t>
  </si>
  <si>
    <t>Highest Transaction Amount</t>
  </si>
  <si>
    <t>Lowest Transaction Amount</t>
  </si>
  <si>
    <t>Revenue</t>
  </si>
  <si>
    <t>Financial Contribution</t>
  </si>
  <si>
    <t>Yearly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</si>
</sst>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[$₦-468]\ * #,##0_-;\-[$₦-468]\ * #,##0_-;_-[$₦-468]\ 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164" fontId="1" fillId="0" borderId="5" xfId="1" applyFont="1" applyFill="1" applyBorder="1" applyAlignment="1"/>
    <xf numFmtId="0" fontId="0" fillId="0" borderId="18" xfId="0" applyBorder="1"/>
    <xf numFmtId="0" fontId="6" fillId="0" borderId="0" xfId="0" applyFont="1"/>
    <xf numFmtId="0" fontId="5" fillId="3" borderId="0" xfId="0" applyFont="1" applyFill="1"/>
    <xf numFmtId="4" fontId="0" fillId="0" borderId="1" xfId="0" applyNumberFormat="1" applyBorder="1"/>
    <xf numFmtId="164" fontId="0" fillId="0" borderId="0" xfId="0" applyNumberFormat="1"/>
    <xf numFmtId="0" fontId="3" fillId="0" borderId="0" xfId="0" applyFont="1"/>
    <xf numFmtId="165" fontId="0" fillId="0" borderId="0" xfId="2" applyNumberFormat="1" applyFont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0" fillId="0" borderId="19" xfId="0" applyBorder="1"/>
    <xf numFmtId="0" fontId="3" fillId="0" borderId="19" xfId="0" applyFont="1" applyBorder="1"/>
    <xf numFmtId="4" fontId="0" fillId="0" borderId="19" xfId="0" applyNumberFormat="1" applyBorder="1"/>
    <xf numFmtId="0" fontId="3" fillId="2" borderId="19" xfId="0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6"/>
  <sheetViews>
    <sheetView topLeftCell="E1" workbookViewId="0">
      <selection activeCell="R15" sqref="R15:U21"/>
    </sheetView>
  </sheetViews>
  <sheetFormatPr defaultRowHeight="14.5" x14ac:dyDescent="0.35"/>
  <cols>
    <col min="2" max="2" width="9.1796875" bestFit="1" customWidth="1"/>
    <col min="15" max="15" width="10.453125" customWidth="1"/>
  </cols>
  <sheetData>
    <row r="1" spans="1:21" ht="25" x14ac:dyDescent="0.5">
      <c r="A1" s="39" t="s">
        <v>0</v>
      </c>
      <c r="B1" s="39"/>
      <c r="C1" s="39"/>
      <c r="D1" s="39"/>
      <c r="E1" s="39"/>
      <c r="F1" s="39"/>
    </row>
    <row r="2" spans="1:21" ht="18" thickBo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" thickBot="1" x14ac:dyDescent="0.4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33" t="s">
        <v>24</v>
      </c>
      <c r="J3" s="34"/>
      <c r="K3" s="35"/>
      <c r="N3" s="7"/>
      <c r="O3" s="8" t="s">
        <v>9</v>
      </c>
      <c r="P3" s="9" t="s">
        <v>10</v>
      </c>
    </row>
    <row r="4" spans="1:21" x14ac:dyDescent="0.3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6" t="s">
        <v>12</v>
      </c>
      <c r="O4" s="13" t="s">
        <v>13</v>
      </c>
      <c r="P4" s="14"/>
    </row>
    <row r="5" spans="1:21" x14ac:dyDescent="0.3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/>
      <c r="J5" s="25"/>
      <c r="K5" s="25"/>
      <c r="N5" s="37"/>
      <c r="O5" s="13" t="s">
        <v>7</v>
      </c>
      <c r="P5" s="14"/>
    </row>
    <row r="6" spans="1:21" x14ac:dyDescent="0.3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/>
      <c r="J6" s="25"/>
      <c r="K6" s="25"/>
      <c r="N6" s="37"/>
      <c r="O6" s="13" t="s">
        <v>15</v>
      </c>
      <c r="P6" s="14"/>
    </row>
    <row r="7" spans="1:21" x14ac:dyDescent="0.3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/>
      <c r="J7" s="25"/>
      <c r="K7" s="25"/>
      <c r="N7" s="37"/>
      <c r="O7" s="13" t="s">
        <v>18</v>
      </c>
      <c r="P7" s="14"/>
    </row>
    <row r="8" spans="1:21" ht="15" thickBot="1" x14ac:dyDescent="0.4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/>
      <c r="J8" s="25"/>
      <c r="K8" s="25"/>
      <c r="N8" s="38"/>
      <c r="O8" s="17" t="s">
        <v>11</v>
      </c>
      <c r="P8" s="14"/>
    </row>
    <row r="9" spans="1:21" ht="15" thickBot="1" x14ac:dyDescent="0.4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/>
      <c r="J9" s="25"/>
      <c r="K9" s="25"/>
    </row>
    <row r="10" spans="1:21" x14ac:dyDescent="0.3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3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3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" thickBot="1" x14ac:dyDescent="0.4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" thickBot="1" x14ac:dyDescent="0.4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40" t="s">
        <v>8</v>
      </c>
      <c r="I14" s="41"/>
      <c r="J14" s="42"/>
    </row>
    <row r="15" spans="1:21" ht="15" thickBot="1" x14ac:dyDescent="0.4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33" t="s">
        <v>22</v>
      </c>
      <c r="T15" s="34"/>
      <c r="U15" s="35"/>
    </row>
    <row r="16" spans="1:21" x14ac:dyDescent="0.3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/>
      <c r="J16" s="16"/>
      <c r="L16" s="36" t="s">
        <v>23</v>
      </c>
      <c r="M16" s="13" t="s">
        <v>13</v>
      </c>
      <c r="N16" s="13"/>
      <c r="O16" s="13"/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3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/>
      <c r="J17" s="16"/>
      <c r="L17" s="37"/>
      <c r="M17" s="13" t="s">
        <v>7</v>
      </c>
      <c r="N17" s="13"/>
      <c r="O17" s="13"/>
      <c r="R17" s="24" t="s">
        <v>13</v>
      </c>
      <c r="S17" s="25"/>
      <c r="T17" s="25"/>
      <c r="U17" s="25"/>
    </row>
    <row r="18" spans="1:21" x14ac:dyDescent="0.3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/>
      <c r="J18" s="16"/>
      <c r="L18" s="37"/>
      <c r="M18" s="13" t="s">
        <v>15</v>
      </c>
      <c r="N18" s="13"/>
      <c r="O18" s="13"/>
      <c r="R18" s="24" t="s">
        <v>7</v>
      </c>
      <c r="S18" s="25"/>
      <c r="T18" s="25"/>
      <c r="U18" s="25"/>
    </row>
    <row r="19" spans="1:21" x14ac:dyDescent="0.3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/>
      <c r="J19" s="16"/>
      <c r="L19" s="37"/>
      <c r="M19" s="13" t="s">
        <v>18</v>
      </c>
      <c r="N19" s="13"/>
      <c r="O19" s="13"/>
      <c r="R19" s="24" t="s">
        <v>15</v>
      </c>
      <c r="S19" s="25"/>
      <c r="T19" s="25"/>
      <c r="U19" s="25"/>
    </row>
    <row r="20" spans="1:21" ht="15" thickBot="1" x14ac:dyDescent="0.4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/>
      <c r="J20" s="14"/>
      <c r="L20" s="38"/>
      <c r="M20" s="17" t="s">
        <v>11</v>
      </c>
      <c r="N20" s="13"/>
      <c r="O20" s="13"/>
      <c r="R20" s="24" t="s">
        <v>18</v>
      </c>
      <c r="S20" s="25"/>
      <c r="T20" s="25"/>
      <c r="U20" s="25"/>
    </row>
    <row r="21" spans="1:21" ht="15" thickBot="1" x14ac:dyDescent="0.4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/>
      <c r="J21" s="19"/>
      <c r="R21" s="26" t="s">
        <v>11</v>
      </c>
      <c r="S21" s="25"/>
      <c r="T21" s="25"/>
      <c r="U21" s="25"/>
    </row>
    <row r="22" spans="1:21" x14ac:dyDescent="0.3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3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3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3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3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S15:U15"/>
    <mergeCell ref="L16:L20"/>
    <mergeCell ref="I3:K3"/>
    <mergeCell ref="A1:F1"/>
    <mergeCell ref="H14:J14"/>
    <mergeCell ref="N4:N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6EBB-7515-454D-8D19-0B11EA1C2212}">
  <sheetPr codeName="Sheet2"/>
  <dimension ref="A1:Y29"/>
  <sheetViews>
    <sheetView tabSelected="1" topLeftCell="G19" workbookViewId="0">
      <selection activeCell="I30" sqref="I30"/>
    </sheetView>
  </sheetViews>
  <sheetFormatPr defaultRowHeight="14.5" x14ac:dyDescent="0.35"/>
  <cols>
    <col min="2" max="2" width="9.1796875" bestFit="1" customWidth="1"/>
    <col min="9" max="9" width="11.08984375" bestFit="1" customWidth="1"/>
    <col min="10" max="11" width="10.08984375" bestFit="1" customWidth="1"/>
  </cols>
  <sheetData>
    <row r="1" spans="1:25" ht="25" x14ac:dyDescent="0.5">
      <c r="A1" s="43" t="s">
        <v>0</v>
      </c>
      <c r="B1" s="43"/>
      <c r="C1" s="43"/>
      <c r="D1" s="43"/>
      <c r="E1" s="43"/>
      <c r="F1" s="43"/>
      <c r="G1" s="43"/>
    </row>
    <row r="2" spans="1:25" ht="17.5" x14ac:dyDescent="0.35">
      <c r="A2" s="28" t="s">
        <v>1</v>
      </c>
      <c r="B2" s="28" t="s">
        <v>2</v>
      </c>
      <c r="C2" s="28" t="s">
        <v>3</v>
      </c>
      <c r="D2" s="1" t="s">
        <v>4</v>
      </c>
      <c r="E2" s="1" t="s">
        <v>5</v>
      </c>
      <c r="F2" s="1" t="s">
        <v>6</v>
      </c>
      <c r="R2" s="44" t="s">
        <v>25</v>
      </c>
      <c r="S2" s="45"/>
      <c r="T2" s="46"/>
      <c r="U2" s="46"/>
    </row>
    <row r="3" spans="1:25" ht="15" thickBot="1" x14ac:dyDescent="0.4">
      <c r="A3" s="27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R3" s="47" t="s">
        <v>26</v>
      </c>
      <c r="S3" s="46"/>
      <c r="T3" s="46"/>
      <c r="U3" s="46"/>
    </row>
    <row r="4" spans="1:25" ht="15" thickBot="1" x14ac:dyDescent="0.4">
      <c r="A4" s="27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I4" s="33" t="s">
        <v>24</v>
      </c>
      <c r="J4" s="34"/>
      <c r="K4" s="35"/>
      <c r="N4" s="7"/>
      <c r="O4" s="8" t="s">
        <v>9</v>
      </c>
      <c r="P4" s="9" t="s">
        <v>10</v>
      </c>
      <c r="R4" s="46">
        <f>SUM(E3:E26)</f>
        <v>1224</v>
      </c>
      <c r="S4" s="46"/>
      <c r="T4" s="46"/>
      <c r="U4" s="46"/>
    </row>
    <row r="5" spans="1:25" x14ac:dyDescent="0.35">
      <c r="A5" s="27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0" t="s">
        <v>4</v>
      </c>
      <c r="I5" s="21">
        <v>2010</v>
      </c>
      <c r="J5" s="22">
        <v>2011</v>
      </c>
      <c r="K5" s="23">
        <v>2012</v>
      </c>
      <c r="N5" s="36" t="s">
        <v>12</v>
      </c>
      <c r="O5" s="13" t="s">
        <v>13</v>
      </c>
      <c r="P5" s="14">
        <f>COUNTIF($D$3:$D$26,O5)</f>
        <v>6</v>
      </c>
      <c r="R5" s="47" t="s">
        <v>27</v>
      </c>
      <c r="S5" s="46"/>
      <c r="T5" s="46"/>
      <c r="U5" s="47" t="s">
        <v>29</v>
      </c>
    </row>
    <row r="6" spans="1:25" x14ac:dyDescent="0.35">
      <c r="A6" s="27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13</v>
      </c>
      <c r="I6" s="25">
        <f>SUMIFS($F$3:$F$26,$D$3:$D$26,$H6,$C$3:$C$26,I$5)</f>
        <v>12320</v>
      </c>
      <c r="J6" s="25">
        <f>SUMIFS($F$3:$F$26,$D$3:$D$26,$H6,$C$3:$C$26,J$5)</f>
        <v>23100</v>
      </c>
      <c r="K6" s="25">
        <f>SUMIFS($F$3:$F$26,$D$3:$D$26,$H6,$C$3:$C$26,K$5)</f>
        <v>25520</v>
      </c>
      <c r="N6" s="37"/>
      <c r="O6" s="13" t="s">
        <v>7</v>
      </c>
      <c r="P6" s="14">
        <f t="shared" ref="P6:P9" si="1">COUNTIF($D$3:$D$26,O6)</f>
        <v>3</v>
      </c>
      <c r="R6" s="46" t="s">
        <v>3</v>
      </c>
      <c r="S6" s="46" t="s">
        <v>28</v>
      </c>
      <c r="T6" s="46"/>
      <c r="U6" s="46" t="s">
        <v>30</v>
      </c>
    </row>
    <row r="7" spans="1:25" x14ac:dyDescent="0.35">
      <c r="A7" s="27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7</v>
      </c>
      <c r="I7" s="25">
        <f t="shared" ref="I7:K10" si="2">SUMIFS($F$3:$F$26,$D$3:$D$26,$H7,$C$3:$C$26,I$5)</f>
        <v>16720</v>
      </c>
      <c r="J7" s="25">
        <f t="shared" si="2"/>
        <v>6160</v>
      </c>
      <c r="K7" s="25">
        <f t="shared" si="2"/>
        <v>7920</v>
      </c>
      <c r="N7" s="37"/>
      <c r="O7" s="13" t="s">
        <v>15</v>
      </c>
      <c r="P7" s="14">
        <f t="shared" si="1"/>
        <v>5</v>
      </c>
      <c r="R7" s="46">
        <v>2010</v>
      </c>
      <c r="S7" s="47">
        <f>SUMIF($C$3:$C$26,R7,$E$3:$E$26)</f>
        <v>476</v>
      </c>
      <c r="T7" s="46"/>
      <c r="U7" s="46">
        <f>AVERAGEIF($C$3:$C$26,R7, $E$3:$E$26)</f>
        <v>52.888888888888886</v>
      </c>
    </row>
    <row r="8" spans="1:25" x14ac:dyDescent="0.35">
      <c r="A8" s="27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15</v>
      </c>
      <c r="I8" s="25">
        <f t="shared" si="2"/>
        <v>26840</v>
      </c>
      <c r="J8" s="25">
        <f t="shared" si="2"/>
        <v>0</v>
      </c>
      <c r="K8" s="25">
        <f t="shared" si="2"/>
        <v>15840</v>
      </c>
      <c r="N8" s="37"/>
      <c r="O8" s="13" t="s">
        <v>18</v>
      </c>
      <c r="P8" s="14">
        <f t="shared" si="1"/>
        <v>3</v>
      </c>
      <c r="R8" s="46">
        <v>2011</v>
      </c>
      <c r="S8" s="47">
        <f t="shared" ref="S8:S9" si="3">SUMIF($C$3:$C$26,R8,$E$3:$E$26)</f>
        <v>380</v>
      </c>
      <c r="T8" s="46"/>
      <c r="U8" s="46">
        <f t="shared" ref="U8:U9" si="4">AVERAGEIF($C$3:$C$26,R8, $E$3:$E$26)</f>
        <v>63.333333333333336</v>
      </c>
    </row>
    <row r="9" spans="1:25" ht="15" thickBot="1" x14ac:dyDescent="0.4">
      <c r="A9" s="27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4" t="s">
        <v>18</v>
      </c>
      <c r="I9" s="25">
        <f t="shared" si="2"/>
        <v>19800</v>
      </c>
      <c r="J9" s="25">
        <f t="shared" si="2"/>
        <v>20900</v>
      </c>
      <c r="K9" s="25">
        <f t="shared" si="2"/>
        <v>11440</v>
      </c>
      <c r="N9" s="38"/>
      <c r="O9" s="17" t="s">
        <v>11</v>
      </c>
      <c r="P9" s="14">
        <f t="shared" si="1"/>
        <v>7</v>
      </c>
      <c r="R9" s="46">
        <v>2012</v>
      </c>
      <c r="S9" s="47">
        <f t="shared" si="3"/>
        <v>368</v>
      </c>
      <c r="T9" s="46"/>
      <c r="U9" s="46">
        <f t="shared" si="4"/>
        <v>40.888888888888886</v>
      </c>
    </row>
    <row r="10" spans="1:25" ht="15" thickBot="1" x14ac:dyDescent="0.4">
      <c r="A10" s="27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H10" s="26" t="s">
        <v>11</v>
      </c>
      <c r="I10" s="25">
        <f t="shared" si="2"/>
        <v>29040</v>
      </c>
      <c r="J10" s="25">
        <f t="shared" si="2"/>
        <v>33440</v>
      </c>
      <c r="K10" s="25">
        <f t="shared" si="2"/>
        <v>20240</v>
      </c>
    </row>
    <row r="11" spans="1:25" x14ac:dyDescent="0.35">
      <c r="A11" s="27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  <c r="W11" s="49" t="s">
        <v>31</v>
      </c>
      <c r="X11" s="49"/>
      <c r="Y11" s="49"/>
    </row>
    <row r="12" spans="1:25" ht="15" thickBot="1" x14ac:dyDescent="0.4">
      <c r="A12" s="27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  <c r="S12" s="31"/>
      <c r="W12" s="46" t="s">
        <v>32</v>
      </c>
    </row>
    <row r="13" spans="1:25" ht="15" thickBot="1" x14ac:dyDescent="0.4">
      <c r="A13" s="27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  <c r="H13" s="40" t="s">
        <v>8</v>
      </c>
      <c r="I13" s="41"/>
      <c r="J13" s="42"/>
      <c r="S13" s="31" t="s">
        <v>36</v>
      </c>
      <c r="W13" s="48">
        <f>MAX(F3:F26)</f>
        <v>20900</v>
      </c>
    </row>
    <row r="14" spans="1:25" ht="15" thickBot="1" x14ac:dyDescent="0.4">
      <c r="A14" s="27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10"/>
      <c r="I14" s="11" t="s">
        <v>10</v>
      </c>
      <c r="J14" s="12" t="s">
        <v>6</v>
      </c>
      <c r="L14" s="7"/>
      <c r="M14" s="8" t="s">
        <v>9</v>
      </c>
      <c r="N14" s="8" t="s">
        <v>10</v>
      </c>
      <c r="O14" s="9" t="s">
        <v>6</v>
      </c>
      <c r="S14" s="33" t="s">
        <v>22</v>
      </c>
      <c r="T14" s="34"/>
      <c r="U14" s="35"/>
      <c r="W14" s="46" t="s">
        <v>33</v>
      </c>
    </row>
    <row r="15" spans="1:25" x14ac:dyDescent="0.35">
      <c r="A15" s="27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5" t="s">
        <v>14</v>
      </c>
      <c r="I15" s="29">
        <f>SUM($E$3:$E$26)</f>
        <v>1224</v>
      </c>
      <c r="J15" s="29">
        <f>SUM($F$3:$F$26)</f>
        <v>269280</v>
      </c>
      <c r="L15" s="36" t="s">
        <v>23</v>
      </c>
      <c r="M15" s="13" t="s">
        <v>13</v>
      </c>
      <c r="N15" s="13">
        <f>SUMIF($D$3:$D$26,M15,$E$3:$E$26)</f>
        <v>277</v>
      </c>
      <c r="O15" s="13">
        <f>SUMIF($D$3:$D$26,M15,$F$3:$F$26)</f>
        <v>60940</v>
      </c>
      <c r="R15" s="20" t="s">
        <v>4</v>
      </c>
      <c r="S15" s="21">
        <v>2010</v>
      </c>
      <c r="T15" s="22">
        <v>2011</v>
      </c>
      <c r="U15" s="23">
        <v>2012</v>
      </c>
      <c r="W15" s="48">
        <f>MIN(F3:F26)</f>
        <v>5280</v>
      </c>
    </row>
    <row r="16" spans="1:25" x14ac:dyDescent="0.35">
      <c r="A16" s="27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16</v>
      </c>
      <c r="I16" s="13">
        <f>MIN($E$3:$E$26)</f>
        <v>24</v>
      </c>
      <c r="J16" s="29">
        <f>MIN($F$3:$F$26)</f>
        <v>5280</v>
      </c>
      <c r="L16" s="37"/>
      <c r="M16" s="13" t="s">
        <v>7</v>
      </c>
      <c r="N16" s="13">
        <f t="shared" ref="N16:N19" si="5">SUMIF($D$3:$D$26,M16,$E$3:$E$26)</f>
        <v>140</v>
      </c>
      <c r="O16" s="13">
        <f t="shared" ref="O16:O19" si="6">SUMIF($D$3:$D$26,M16,$F$3:$F$26)</f>
        <v>30800</v>
      </c>
      <c r="R16" s="24" t="s">
        <v>13</v>
      </c>
      <c r="S16" s="25">
        <f>SUMIFS($E$3:$E$26,$D$3:$D$26,$R16,$C$3:$C$26,S$15)</f>
        <v>56</v>
      </c>
      <c r="T16" s="25">
        <f>SUMIFS($E$3:$E$26,$D$3:$D$26,$R16,$C$3:$C$26,T$15)</f>
        <v>105</v>
      </c>
      <c r="U16" s="25">
        <f>SUMIFS($E$3:$E$26,$D$3:$D$26,$R16,$C$3:$C$26,U$15)</f>
        <v>116</v>
      </c>
    </row>
    <row r="17" spans="1:21" x14ac:dyDescent="0.35">
      <c r="A17" s="27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17</v>
      </c>
      <c r="I17" s="13">
        <f>MAX($E$3:$E$26)</f>
        <v>95</v>
      </c>
      <c r="J17" s="29">
        <f>MAX($F$3:$F$26)</f>
        <v>20900</v>
      </c>
      <c r="L17" s="37"/>
      <c r="M17" s="13" t="s">
        <v>15</v>
      </c>
      <c r="N17" s="13">
        <f t="shared" si="5"/>
        <v>194</v>
      </c>
      <c r="O17" s="13">
        <f t="shared" si="6"/>
        <v>42680</v>
      </c>
      <c r="R17" s="24" t="s">
        <v>7</v>
      </c>
      <c r="S17" s="25">
        <f t="shared" ref="S17:U20" si="7">SUMIFS($E$3:$E$26,$D$3:$D$26,$R17,$C$3:$C$26,S$15)</f>
        <v>76</v>
      </c>
      <c r="T17" s="25">
        <f t="shared" si="7"/>
        <v>28</v>
      </c>
      <c r="U17" s="25">
        <f t="shared" si="7"/>
        <v>36</v>
      </c>
    </row>
    <row r="18" spans="1:21" x14ac:dyDescent="0.35">
      <c r="A18" s="27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19</v>
      </c>
      <c r="I18" s="13">
        <f>AVERAGE($E$3:$E$26)</f>
        <v>51</v>
      </c>
      <c r="J18" s="29">
        <f>AVERAGE($F$3:$F$26)</f>
        <v>11220</v>
      </c>
      <c r="L18" s="37"/>
      <c r="M18" s="13" t="s">
        <v>18</v>
      </c>
      <c r="N18" s="13">
        <f t="shared" si="5"/>
        <v>237</v>
      </c>
      <c r="O18" s="13">
        <f t="shared" si="6"/>
        <v>52140</v>
      </c>
      <c r="R18" s="24" t="s">
        <v>15</v>
      </c>
      <c r="S18" s="25">
        <f t="shared" si="7"/>
        <v>122</v>
      </c>
      <c r="T18" s="25">
        <f t="shared" si="7"/>
        <v>0</v>
      </c>
      <c r="U18" s="25">
        <f t="shared" si="7"/>
        <v>72</v>
      </c>
    </row>
    <row r="19" spans="1:21" ht="15" thickBot="1" x14ac:dyDescent="0.4">
      <c r="A19" s="27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20</v>
      </c>
      <c r="I19" s="13">
        <f>COUNT($E$3:$E$26)</f>
        <v>24</v>
      </c>
      <c r="J19" s="13">
        <f>COUNT($F$3:$F$26)</f>
        <v>24</v>
      </c>
      <c r="L19" s="38"/>
      <c r="M19" s="17" t="s">
        <v>11</v>
      </c>
      <c r="N19" s="13">
        <f t="shared" si="5"/>
        <v>376</v>
      </c>
      <c r="O19" s="13">
        <f t="shared" si="6"/>
        <v>82720</v>
      </c>
      <c r="R19" s="24" t="s">
        <v>18</v>
      </c>
      <c r="S19" s="25">
        <f t="shared" si="7"/>
        <v>90</v>
      </c>
      <c r="T19" s="25">
        <f t="shared" si="7"/>
        <v>95</v>
      </c>
      <c r="U19" s="25">
        <f t="shared" si="7"/>
        <v>52</v>
      </c>
    </row>
    <row r="20" spans="1:21" ht="15" thickBot="1" x14ac:dyDescent="0.4">
      <c r="A20" s="27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8" t="s">
        <v>21</v>
      </c>
      <c r="I20" s="13">
        <f>COUNTA($E$3:$E$26)</f>
        <v>24</v>
      </c>
      <c r="J20" s="13">
        <f>COUNTA($F$3:$F$26)</f>
        <v>24</v>
      </c>
      <c r="R20" s="26" t="s">
        <v>11</v>
      </c>
      <c r="S20" s="25">
        <f t="shared" si="7"/>
        <v>132</v>
      </c>
      <c r="T20" s="25">
        <f t="shared" si="7"/>
        <v>152</v>
      </c>
      <c r="U20" s="25">
        <f t="shared" si="7"/>
        <v>92</v>
      </c>
    </row>
    <row r="21" spans="1:21" x14ac:dyDescent="0.35">
      <c r="A21" s="27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S21" s="30"/>
    </row>
    <row r="22" spans="1:21" x14ac:dyDescent="0.35">
      <c r="A22" s="27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ht="15" thickBot="1" x14ac:dyDescent="0.4">
      <c r="A23" s="27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  <c r="H23" s="31" t="s">
        <v>35</v>
      </c>
    </row>
    <row r="24" spans="1:21" x14ac:dyDescent="0.35">
      <c r="A24" s="27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  <c r="H24" s="20" t="s">
        <v>4</v>
      </c>
      <c r="I24" s="20" t="s">
        <v>34</v>
      </c>
    </row>
    <row r="25" spans="1:21" x14ac:dyDescent="0.35">
      <c r="A25" s="27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  <c r="H25" s="24" t="s">
        <v>13</v>
      </c>
      <c r="I25" s="32">
        <f>SUMIF($D$3:$D$26,H25,$F$3:$F$26)</f>
        <v>60940</v>
      </c>
    </row>
    <row r="26" spans="1:21" x14ac:dyDescent="0.35">
      <c r="A26" s="27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  <c r="H26" s="24" t="s">
        <v>7</v>
      </c>
      <c r="I26" s="32">
        <f t="shared" ref="I26:I29" si="8">SUMIF($D$3:$D$26,H26,$F$3:$F$26)</f>
        <v>30800</v>
      </c>
    </row>
    <row r="27" spans="1:21" x14ac:dyDescent="0.35">
      <c r="H27" s="24" t="s">
        <v>15</v>
      </c>
      <c r="I27" s="32">
        <f t="shared" si="8"/>
        <v>42680</v>
      </c>
    </row>
    <row r="28" spans="1:21" x14ac:dyDescent="0.35">
      <c r="H28" s="24" t="s">
        <v>18</v>
      </c>
      <c r="I28" s="32">
        <f t="shared" si="8"/>
        <v>52140</v>
      </c>
    </row>
    <row r="29" spans="1:21" ht="15" thickBot="1" x14ac:dyDescent="0.4">
      <c r="H29" s="26" t="s">
        <v>11</v>
      </c>
      <c r="I29" s="32">
        <f t="shared" si="8"/>
        <v>82720</v>
      </c>
    </row>
  </sheetData>
  <mergeCells count="7">
    <mergeCell ref="L15:L19"/>
    <mergeCell ref="R2:S2"/>
    <mergeCell ref="S14:U14"/>
    <mergeCell ref="A1:G1"/>
    <mergeCell ref="I4:K4"/>
    <mergeCell ref="N5:N9"/>
    <mergeCell ref="H13:J13"/>
  </mergeCells>
  <conditionalFormatting sqref="F1:F1048576">
    <cfRule type="cellIs" dxfId="5" priority="8" operator="greaterThan">
      <formula>15000</formula>
    </cfRule>
    <cfRule type="cellIs" dxfId="4" priority="7" operator="lessThan">
      <formula>6000</formula>
    </cfRule>
  </conditionalFormatting>
  <conditionalFormatting sqref="P5:P9">
    <cfRule type="top10" dxfId="3" priority="4" rank="1"/>
    <cfRule type="top10" dxfId="2" priority="3" rank="1"/>
  </conditionalFormatting>
  <conditionalFormatting sqref="F3:F26">
    <cfRule type="cellIs" dxfId="1" priority="2" operator="greaterThan">
      <formula>15000</formula>
    </cfRule>
    <cfRule type="cellIs" dxfId="0" priority="1" operator="lessThan">
      <formula>6000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USER</cp:lastModifiedBy>
  <dcterms:created xsi:type="dcterms:W3CDTF">2024-05-08T21:08:42Z</dcterms:created>
  <dcterms:modified xsi:type="dcterms:W3CDTF">2026-04-30T19:36:43Z</dcterms:modified>
</cp:coreProperties>
</file>